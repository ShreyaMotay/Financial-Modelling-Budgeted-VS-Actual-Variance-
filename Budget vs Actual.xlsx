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8ED95089-ABCC-4CDB-86C7-0EFD4F19BC58}" xr6:coauthVersionLast="47" xr6:coauthVersionMax="47" xr10:uidLastSave="{00000000-0000-0000-0000-000000000000}"/>
  <bookViews>
    <workbookView xWindow="-110" yWindow="-110" windowWidth="22620" windowHeight="13500" activeTab="3" xr2:uid="{86C4BDD0-F605-4C66-8242-B5AF83445F15}"/>
  </bookViews>
  <sheets>
    <sheet name="Assumption" sheetId="1" r:id="rId1"/>
    <sheet name="Budgeting" sheetId="2" r:id="rId2"/>
    <sheet name="Actuals" sheetId="3" r:id="rId3"/>
    <sheet name="KPIs" sheetId="4" r:id="rId4"/>
  </sheets>
  <definedNames>
    <definedName name="_xlchart.v1.0" hidden="1">Actuals!$B$5:$B$16</definedName>
    <definedName name="_xlchart.v1.1" hidden="1">Actuals!$F$4</definedName>
    <definedName name="_xlchart.v1.2" hidden="1">Actuals!$F$5:$F$16</definedName>
    <definedName name="_xlchart.v1.3" hidden="1">Actuals!$B$5:$B$16</definedName>
    <definedName name="_xlchart.v1.4" hidden="1">Actuals!$F$4</definedName>
    <definedName name="_xlchart.v1.5" hidden="1">Actuals!$F$5:$F$16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D18" i="3"/>
  <c r="J6" i="3"/>
  <c r="J7" i="3"/>
  <c r="J8" i="3"/>
  <c r="J9" i="3"/>
  <c r="J10" i="3"/>
  <c r="J11" i="3"/>
  <c r="J12" i="3"/>
  <c r="J13" i="3"/>
  <c r="J14" i="3"/>
  <c r="J15" i="3"/>
  <c r="J16" i="3"/>
  <c r="J5" i="3"/>
  <c r="I6" i="3"/>
  <c r="I7" i="3"/>
  <c r="I8" i="3"/>
  <c r="I9" i="3"/>
  <c r="I10" i="3"/>
  <c r="I11" i="3"/>
  <c r="I12" i="3"/>
  <c r="I13" i="3"/>
  <c r="I14" i="3"/>
  <c r="I15" i="3"/>
  <c r="I16" i="3"/>
  <c r="I5" i="3"/>
  <c r="G6" i="3"/>
  <c r="G7" i="3"/>
  <c r="G8" i="3"/>
  <c r="G9" i="3"/>
  <c r="G10" i="3"/>
  <c r="G11" i="3"/>
  <c r="G12" i="3"/>
  <c r="G13" i="3"/>
  <c r="G14" i="3"/>
  <c r="G15" i="3"/>
  <c r="G16" i="3"/>
  <c r="F6" i="3"/>
  <c r="F7" i="3"/>
  <c r="F8" i="3"/>
  <c r="F9" i="3"/>
  <c r="F10" i="3"/>
  <c r="F11" i="3"/>
  <c r="F12" i="3"/>
  <c r="F13" i="3"/>
  <c r="F14" i="3"/>
  <c r="F15" i="3"/>
  <c r="F16" i="3"/>
  <c r="G5" i="3"/>
  <c r="F5" i="3"/>
  <c r="E6" i="3"/>
  <c r="E7" i="3"/>
  <c r="E8" i="3"/>
  <c r="E9" i="3"/>
  <c r="E10" i="3"/>
  <c r="E11" i="3"/>
  <c r="E12" i="3"/>
  <c r="E13" i="3"/>
  <c r="E14" i="3"/>
  <c r="E15" i="3"/>
  <c r="E16" i="3"/>
  <c r="E5" i="3"/>
  <c r="C6" i="3"/>
  <c r="C7" i="3"/>
  <c r="C8" i="3"/>
  <c r="C9" i="3"/>
  <c r="C10" i="3"/>
  <c r="C11" i="3"/>
  <c r="C12" i="3"/>
  <c r="C13" i="3"/>
  <c r="C14" i="3"/>
  <c r="C15" i="3"/>
  <c r="C16" i="3"/>
  <c r="C5" i="3"/>
  <c r="G7" i="2"/>
  <c r="H7" i="2"/>
  <c r="I7" i="2"/>
  <c r="J7" i="2"/>
  <c r="K7" i="2"/>
  <c r="L7" i="2"/>
  <c r="M7" i="2"/>
  <c r="N7" i="2"/>
  <c r="O7" i="2"/>
  <c r="G8" i="2"/>
  <c r="H8" i="2"/>
  <c r="I8" i="2"/>
  <c r="K8" i="2" s="1"/>
  <c r="M8" i="2" s="1"/>
  <c r="O8" i="2" s="1"/>
  <c r="J8" i="2"/>
  <c r="L8" i="2"/>
  <c r="N8" i="2"/>
  <c r="G9" i="2"/>
  <c r="H9" i="2"/>
  <c r="I9" i="2"/>
  <c r="J9" i="2"/>
  <c r="K9" i="2"/>
  <c r="M9" i="2" s="1"/>
  <c r="L9" i="2"/>
  <c r="N9" i="2" s="1"/>
  <c r="G10" i="2"/>
  <c r="H10" i="2"/>
  <c r="I10" i="2"/>
  <c r="J10" i="2"/>
  <c r="K10" i="2"/>
  <c r="L10" i="2"/>
  <c r="M10" i="2"/>
  <c r="N10" i="2"/>
  <c r="O10" i="2"/>
  <c r="G11" i="2"/>
  <c r="H11" i="2"/>
  <c r="I11" i="2"/>
  <c r="J11" i="2"/>
  <c r="K11" i="2"/>
  <c r="L11" i="2"/>
  <c r="M11" i="2"/>
  <c r="N11" i="2"/>
  <c r="O11" i="2"/>
  <c r="G12" i="2"/>
  <c r="H12" i="2"/>
  <c r="I12" i="2"/>
  <c r="K12" i="2" s="1"/>
  <c r="M12" i="2" s="1"/>
  <c r="O12" i="2" s="1"/>
  <c r="J12" i="2"/>
  <c r="L12" i="2"/>
  <c r="N12" i="2"/>
  <c r="G13" i="2"/>
  <c r="H13" i="2"/>
  <c r="I13" i="2"/>
  <c r="J13" i="2"/>
  <c r="K13" i="2"/>
  <c r="M13" i="2" s="1"/>
  <c r="L13" i="2"/>
  <c r="N13" i="2" s="1"/>
  <c r="G14" i="2"/>
  <c r="H14" i="2"/>
  <c r="I14" i="2"/>
  <c r="J14" i="2"/>
  <c r="K14" i="2"/>
  <c r="L14" i="2"/>
  <c r="M14" i="2"/>
  <c r="N14" i="2"/>
  <c r="O14" i="2"/>
  <c r="G15" i="2"/>
  <c r="H15" i="2"/>
  <c r="I15" i="2"/>
  <c r="J15" i="2"/>
  <c r="K15" i="2"/>
  <c r="L15" i="2"/>
  <c r="M15" i="2"/>
  <c r="N15" i="2"/>
  <c r="O15" i="2"/>
  <c r="G16" i="2"/>
  <c r="H16" i="2"/>
  <c r="I16" i="2"/>
  <c r="K16" i="2" s="1"/>
  <c r="M16" i="2" s="1"/>
  <c r="O16" i="2" s="1"/>
  <c r="J16" i="2"/>
  <c r="L16" i="2"/>
  <c r="N16" i="2"/>
  <c r="G17" i="2"/>
  <c r="H17" i="2"/>
  <c r="I17" i="2"/>
  <c r="J17" i="2"/>
  <c r="K17" i="2"/>
  <c r="M17" i="2" s="1"/>
  <c r="L17" i="2"/>
  <c r="N17" i="2" s="1"/>
  <c r="L6" i="2"/>
  <c r="N6" i="2" s="1"/>
  <c r="J6" i="2"/>
  <c r="I6" i="2"/>
  <c r="H6" i="2"/>
  <c r="G6" i="2"/>
  <c r="K6" i="2"/>
  <c r="M6" i="2" s="1"/>
  <c r="F7" i="2"/>
  <c r="F8" i="2"/>
  <c r="F9" i="2"/>
  <c r="F10" i="2"/>
  <c r="F11" i="2"/>
  <c r="F12" i="2"/>
  <c r="F13" i="2"/>
  <c r="F14" i="2"/>
  <c r="F15" i="2"/>
  <c r="F16" i="2"/>
  <c r="F17" i="2"/>
  <c r="F6" i="2"/>
  <c r="E7" i="2"/>
  <c r="E8" i="2"/>
  <c r="E9" i="2"/>
  <c r="E10" i="2"/>
  <c r="E11" i="2"/>
  <c r="E12" i="2"/>
  <c r="E13" i="2"/>
  <c r="E14" i="2"/>
  <c r="E15" i="2"/>
  <c r="E16" i="2"/>
  <c r="E17" i="2"/>
  <c r="E6" i="2"/>
  <c r="D7" i="2"/>
  <c r="D8" i="2"/>
  <c r="D9" i="2"/>
  <c r="D10" i="2"/>
  <c r="D11" i="2"/>
  <c r="D12" i="2"/>
  <c r="D13" i="2"/>
  <c r="D14" i="2"/>
  <c r="D15" i="2"/>
  <c r="D16" i="2"/>
  <c r="D17" i="2"/>
  <c r="D6" i="2"/>
  <c r="C7" i="2"/>
  <c r="C8" i="2"/>
  <c r="C9" i="2"/>
  <c r="C10" i="2"/>
  <c r="C11" i="2"/>
  <c r="C12" i="2"/>
  <c r="C13" i="2"/>
  <c r="C14" i="2"/>
  <c r="C15" i="2"/>
  <c r="C16" i="2"/>
  <c r="C17" i="2"/>
  <c r="C6" i="2"/>
  <c r="O17" i="2" l="1"/>
  <c r="O9" i="2"/>
  <c r="O13" i="2"/>
  <c r="O6" i="2"/>
</calcChain>
</file>

<file path=xl/sharedStrings.xml><?xml version="1.0" encoding="utf-8"?>
<sst xmlns="http://schemas.openxmlformats.org/spreadsheetml/2006/main" count="72" uniqueCount="57">
  <si>
    <t>Month</t>
  </si>
  <si>
    <t>Jan</t>
  </si>
  <si>
    <t>Feb</t>
  </si>
  <si>
    <t>Mar</t>
  </si>
  <si>
    <t>Apr</t>
  </si>
  <si>
    <t>May</t>
  </si>
  <si>
    <t>Jun</t>
  </si>
  <si>
    <t>A</t>
  </si>
  <si>
    <t>B</t>
  </si>
  <si>
    <t>Assumptions</t>
  </si>
  <si>
    <t>Avg Selling Price</t>
  </si>
  <si>
    <t>Units Sold per Month</t>
  </si>
  <si>
    <t>Cost per Unit (COGS)</t>
  </si>
  <si>
    <t>Marketing Expense per Month</t>
  </si>
  <si>
    <t>Salary Expense per Month</t>
  </si>
  <si>
    <t>Rent per Month</t>
  </si>
  <si>
    <t>Revenue &amp; Sales Drivers</t>
  </si>
  <si>
    <t>Annual Discount % (Seasonal)</t>
  </si>
  <si>
    <t>Cost Drivers</t>
  </si>
  <si>
    <t>Return/Refund Rate %</t>
  </si>
  <si>
    <t>Operating Expenses</t>
  </si>
  <si>
    <t>Other Assumptions</t>
  </si>
  <si>
    <t>Tax Rate</t>
  </si>
  <si>
    <t>Units Sold</t>
  </si>
  <si>
    <t>Selling Price</t>
  </si>
  <si>
    <t>Gross Revenue</t>
  </si>
  <si>
    <t>Discount</t>
  </si>
  <si>
    <t>Net Revenue</t>
  </si>
  <si>
    <t>Returns (2%)</t>
  </si>
  <si>
    <t>Final Revenue</t>
  </si>
  <si>
    <t>COGS</t>
  </si>
  <si>
    <t>Gross Profit</t>
  </si>
  <si>
    <t>Operating Profit</t>
  </si>
  <si>
    <t>Tax (20%)</t>
  </si>
  <si>
    <t>Net Profit</t>
  </si>
  <si>
    <t>Dec</t>
  </si>
  <si>
    <t>Jul</t>
  </si>
  <si>
    <t>Aug</t>
  </si>
  <si>
    <t>Sep</t>
  </si>
  <si>
    <t>Oct</t>
  </si>
  <si>
    <t>Nov</t>
  </si>
  <si>
    <t>Budgeting Table</t>
  </si>
  <si>
    <t>Actual Revenue</t>
  </si>
  <si>
    <t>Actual Net Profit</t>
  </si>
  <si>
    <t>Actuals</t>
  </si>
  <si>
    <t>Budgeted Net Reveue</t>
  </si>
  <si>
    <t>Revenue Variance</t>
  </si>
  <si>
    <t>Rev Var(%)</t>
  </si>
  <si>
    <t>Budget N.P</t>
  </si>
  <si>
    <t>Profit Variance</t>
  </si>
  <si>
    <t>Profit var %</t>
  </si>
  <si>
    <t>Budget VS Actual Net Revenue</t>
  </si>
  <si>
    <t>YTD</t>
  </si>
  <si>
    <t>YTD BUDGET VS ACTUAL NET REVENUE</t>
  </si>
  <si>
    <t>Act VS BUD Revenue Variance (%)</t>
  </si>
  <si>
    <t>Budget vs Actual Net Profit</t>
  </si>
  <si>
    <t xml:space="preserve">Profit Variance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</si>
</sst>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73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2" fillId="2" borderId="1" xfId="0" applyFont="1" applyFill="1" applyBorder="1"/>
    <xf numFmtId="0" fontId="2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9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9" fontId="0" fillId="0" borderId="7" xfId="0" applyNumberForma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0" fillId="0" borderId="0" xfId="0" applyNumberFormat="1" applyBorder="1" applyAlignment="1">
      <alignment vertical="center" wrapText="1"/>
    </xf>
    <xf numFmtId="173" fontId="0" fillId="0" borderId="0" xfId="1" applyNumberFormat="1" applyFont="1" applyBorder="1" applyAlignment="1">
      <alignment vertical="center" wrapText="1"/>
    </xf>
    <xf numFmtId="173" fontId="0" fillId="0" borderId="5" xfId="1" applyNumberFormat="1" applyFont="1" applyBorder="1" applyAlignment="1">
      <alignment vertical="center" wrapText="1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73" fontId="0" fillId="0" borderId="8" xfId="1" applyNumberFormat="1" applyFont="1" applyBorder="1" applyAlignment="1">
      <alignment vertical="center" wrapText="1"/>
    </xf>
    <xf numFmtId="0" fontId="2" fillId="2" borderId="10" xfId="0" applyFont="1" applyFill="1" applyBorder="1" applyAlignment="1">
      <alignment horizontal="center"/>
    </xf>
    <xf numFmtId="173" fontId="0" fillId="0" borderId="0" xfId="0" applyNumberFormat="1" applyBorder="1"/>
    <xf numFmtId="9" fontId="0" fillId="0" borderId="0" xfId="2" applyFont="1" applyBorder="1"/>
    <xf numFmtId="173" fontId="0" fillId="0" borderId="0" xfId="1" applyNumberFormat="1" applyFont="1" applyBorder="1"/>
    <xf numFmtId="9" fontId="0" fillId="0" borderId="5" xfId="2" applyFont="1" applyBorder="1"/>
    <xf numFmtId="173" fontId="0" fillId="0" borderId="8" xfId="0" applyNumberFormat="1" applyBorder="1"/>
    <xf numFmtId="9" fontId="0" fillId="0" borderId="8" xfId="2" applyFont="1" applyBorder="1"/>
    <xf numFmtId="173" fontId="0" fillId="0" borderId="8" xfId="1" applyNumberFormat="1" applyFont="1" applyBorder="1"/>
    <xf numFmtId="3" fontId="0" fillId="0" borderId="8" xfId="0" applyNumberFormat="1" applyBorder="1" applyAlignment="1">
      <alignment vertical="center" wrapText="1"/>
    </xf>
    <xf numFmtId="9" fontId="0" fillId="0" borderId="7" xfId="2" applyFont="1" applyBorder="1"/>
    <xf numFmtId="173" fontId="2" fillId="2" borderId="12" xfId="0" applyNumberFormat="1" applyFont="1" applyFill="1" applyBorder="1"/>
    <xf numFmtId="0" fontId="2" fillId="0" borderId="0" xfId="0" applyFont="1" applyFill="1" applyBorder="1" applyAlignment="1">
      <alignment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Budget</a:t>
            </a:r>
            <a:r>
              <a:rPr lang="en-US" baseline="0"/>
              <a:t> VS Actual Net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Actuals!$C$4</c:f>
              <c:strCache>
                <c:ptCount val="1"/>
                <c:pt idx="0">
                  <c:v>Budgeted Net Reveue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Actuals!$B$5:$B$16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Actuals!$C$5:$C$16</c:f>
              <c:numCache>
                <c:formatCode>_("$"* #,##0_);_("$"* \(#,##0\);_("$"* "-"??_);_(@_)</c:formatCode>
                <c:ptCount val="12"/>
                <c:pt idx="0">
                  <c:v>49791.666666666664</c:v>
                </c:pt>
                <c:pt idx="1">
                  <c:v>49791.666666666664</c:v>
                </c:pt>
                <c:pt idx="2">
                  <c:v>49791.666666666664</c:v>
                </c:pt>
                <c:pt idx="3">
                  <c:v>49791.666666666664</c:v>
                </c:pt>
                <c:pt idx="4">
                  <c:v>49791.666666666664</c:v>
                </c:pt>
                <c:pt idx="5">
                  <c:v>49791.666666666664</c:v>
                </c:pt>
                <c:pt idx="6">
                  <c:v>49791.666666666664</c:v>
                </c:pt>
                <c:pt idx="7">
                  <c:v>49791.666666666664</c:v>
                </c:pt>
                <c:pt idx="8">
                  <c:v>49791.666666666664</c:v>
                </c:pt>
                <c:pt idx="9">
                  <c:v>49791.666666666664</c:v>
                </c:pt>
                <c:pt idx="10">
                  <c:v>49791.666666666664</c:v>
                </c:pt>
                <c:pt idx="11">
                  <c:v>49791.666666666664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2-4096-B96F-EF7D51219443}"/>
            </c:ext>
          </c:extLst>
        </c:ser>
        <c:ser>
          <c:idx val="1"/>
          <c:order val="1"/>
          <c:tx>
            <c:strRef>
              <c:f>Actuals!$D$4</c:f>
              <c:strCache>
                <c:ptCount val="1"/>
                <c:pt idx="0">
                  <c:v>Actual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Actuals!$B$5:$B$16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Actuals!$D$5:$D$16</c:f>
              <c:numCache>
                <c:formatCode>_("$"* #,##0_);_("$"* \(#,##0\);_("$"* "-"??_);_(@_)</c:formatCode>
                <c:ptCount val="12"/>
                <c:pt idx="0">
                  <c:v>50500</c:v>
                </c:pt>
                <c:pt idx="1">
                  <c:v>49000</c:v>
                </c:pt>
                <c:pt idx="2">
                  <c:v>51200</c:v>
                </c:pt>
                <c:pt idx="3">
                  <c:v>52000</c:v>
                </c:pt>
                <c:pt idx="4">
                  <c:v>47500</c:v>
                </c:pt>
                <c:pt idx="5">
                  <c:v>48200</c:v>
                </c:pt>
                <c:pt idx="6">
                  <c:v>49700</c:v>
                </c:pt>
                <c:pt idx="7">
                  <c:v>51100</c:v>
                </c:pt>
                <c:pt idx="8">
                  <c:v>52500</c:v>
                </c:pt>
                <c:pt idx="9">
                  <c:v>50900</c:v>
                </c:pt>
                <c:pt idx="10">
                  <c:v>49300</c:v>
                </c:pt>
                <c:pt idx="11">
                  <c:v>52300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2-4096-B96F-EF7D51219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610608"/>
        <c:axId val="1592604848"/>
      </c:lineChart>
      <c:catAx>
        <c:axId val="159261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04848"/>
        <c:crosses val="autoZero"/>
        <c:auto val="1"/>
        <c:lblAlgn val="ctr"/>
        <c:lblOffset val="100"/>
        <c:noMultiLvlLbl val="0"/>
      </c:catAx>
      <c:valAx>
        <c:axId val="159260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1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YTD</a:t>
            </a:r>
            <a:r>
              <a:rPr lang="en-US" baseline="0"/>
              <a:t> Actual VS Budgeted Net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Budget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Actuals!$B$18</c:f>
              <c:strCache>
                <c:ptCount val="1"/>
                <c:pt idx="0">
                  <c:v>YTD</c:v>
                </c:pt>
              </c:strCache>
            </c:strRef>
          </c:cat>
          <c:val>
            <c:numRef>
              <c:f>Actuals!$C$18</c:f>
              <c:numCache>
                <c:formatCode>_("$"* #,##0_);_("$"* \(#,##0\);_("$"* "-"??_);_(@_)</c:formatCode>
                <c:ptCount val="1"/>
                <c:pt idx="0">
                  <c:v>597500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2-42BC-BDAC-54827E78F1E3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Actuals!$B$18</c:f>
              <c:strCache>
                <c:ptCount val="1"/>
                <c:pt idx="0">
                  <c:v>YTD</c:v>
                </c:pt>
              </c:strCache>
            </c:strRef>
          </c:cat>
          <c:val>
            <c:numRef>
              <c:f>Actuals!$D$18</c:f>
              <c:numCache>
                <c:formatCode>_("$"* #,##0_);_("$"* \(#,##0\);_("$"* "-"??_);_(@_)</c:formatCode>
                <c:ptCount val="1"/>
                <c:pt idx="0">
                  <c:v>604200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12-42BC-BDAC-54827E78F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2642288"/>
        <c:axId val="1592632688"/>
      </c:barChart>
      <c:catAx>
        <c:axId val="159264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32688"/>
        <c:crosses val="autoZero"/>
        <c:auto val="1"/>
        <c:lblAlgn val="ctr"/>
        <c:lblOffset val="100"/>
        <c:noMultiLvlLbl val="0"/>
      </c:catAx>
      <c:valAx>
        <c:axId val="159263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4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Actuals!$I$4</c:f>
              <c:strCache>
                <c:ptCount val="1"/>
                <c:pt idx="0">
                  <c:v>Profit Variance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Actuals!$B$5:$B$16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Actuals!$I$5:$I$16</c:f>
              <c:numCache>
                <c:formatCode>_("$"* #,##0_);_("$"* \(#,##0\);_("$"* "-"??_);_(@_)</c:formatCode>
                <c:ptCount val="12"/>
                <c:pt idx="0">
                  <c:v>304.16666666667152</c:v>
                </c:pt>
                <c:pt idx="1">
                  <c:v>-995.83333333332848</c:v>
                </c:pt>
                <c:pt idx="2">
                  <c:v>1404.1666666666715</c:v>
                </c:pt>
                <c:pt idx="3">
                  <c:v>1704.1666666666715</c:v>
                </c:pt>
                <c:pt idx="4">
                  <c:v>-1795.8333333333285</c:v>
                </c:pt>
                <c:pt idx="5">
                  <c:v>-1095.8333333333285</c:v>
                </c:pt>
                <c:pt idx="6">
                  <c:v>4.1666666666715173</c:v>
                </c:pt>
                <c:pt idx="7">
                  <c:v>1104.1666666666715</c:v>
                </c:pt>
                <c:pt idx="8">
                  <c:v>1604.1666666666715</c:v>
                </c:pt>
                <c:pt idx="9">
                  <c:v>604.16666666667152</c:v>
                </c:pt>
                <c:pt idx="10">
                  <c:v>-795.83333333332848</c:v>
                </c:pt>
                <c:pt idx="11">
                  <c:v>1804.1666666666715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0-49FB-B0A4-6979B199D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623088"/>
        <c:axId val="1592621648"/>
      </c:lineChart>
      <c:catAx>
        <c:axId val="159262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21648"/>
        <c:crosses val="autoZero"/>
        <c:auto val="1"/>
        <c:lblAlgn val="ctr"/>
        <c:lblOffset val="100"/>
        <c:noMultiLvlLbl val="0"/>
      </c:catAx>
      <c:valAx>
        <c:axId val="159262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</a:t>
            </a:r>
            <a:r>
              <a:rPr lang="en-US" baseline="0"/>
              <a:t> vs Actual Net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Actuals!$G$4</c:f>
              <c:strCache>
                <c:ptCount val="1"/>
                <c:pt idx="0">
                  <c:v>Budget N.P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Actuals!$B$5:$B$16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Actuals!$G$5:$G$16</c:f>
              <c:numCache>
                <c:formatCode>_("$"* #,##0_);_("$"* \(#,##0\);_("$"* "-"??_);_(@_)</c:formatCode>
                <c:ptCount val="12"/>
                <c:pt idx="0">
                  <c:v>-14204.166666666672</c:v>
                </c:pt>
                <c:pt idx="1">
                  <c:v>-14204.166666666672</c:v>
                </c:pt>
                <c:pt idx="2">
                  <c:v>-14204.166666666672</c:v>
                </c:pt>
                <c:pt idx="3">
                  <c:v>-14204.166666666672</c:v>
                </c:pt>
                <c:pt idx="4">
                  <c:v>-14204.166666666672</c:v>
                </c:pt>
                <c:pt idx="5">
                  <c:v>-14204.166666666672</c:v>
                </c:pt>
                <c:pt idx="6">
                  <c:v>-14204.166666666672</c:v>
                </c:pt>
                <c:pt idx="7">
                  <c:v>-14204.166666666672</c:v>
                </c:pt>
                <c:pt idx="8">
                  <c:v>-14204.166666666672</c:v>
                </c:pt>
                <c:pt idx="9">
                  <c:v>-14204.166666666672</c:v>
                </c:pt>
                <c:pt idx="10">
                  <c:v>-14204.166666666672</c:v>
                </c:pt>
                <c:pt idx="11">
                  <c:v>-14204.166666666672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A-45CF-9D20-56C44AA35ECF}"/>
            </c:ext>
          </c:extLst>
        </c:ser>
        <c:ser>
          <c:idx val="1"/>
          <c:order val="1"/>
          <c:tx>
            <c:strRef>
              <c:f>Actuals!$H$4</c:f>
              <c:strCache>
                <c:ptCount val="1"/>
                <c:pt idx="0">
                  <c:v>Actual 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Actuals!$B$5:$B$16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Actuals!$H$5:$H$16</c:f>
              <c:numCache>
                <c:formatCode>#,##0</c:formatCode>
                <c:ptCount val="12"/>
                <c:pt idx="0">
                  <c:v>-13900</c:v>
                </c:pt>
                <c:pt idx="1">
                  <c:v>-15200</c:v>
                </c:pt>
                <c:pt idx="2">
                  <c:v>-12800</c:v>
                </c:pt>
                <c:pt idx="3">
                  <c:v>-12500</c:v>
                </c:pt>
                <c:pt idx="4">
                  <c:v>-16000</c:v>
                </c:pt>
                <c:pt idx="5">
                  <c:v>-15300</c:v>
                </c:pt>
                <c:pt idx="6">
                  <c:v>-14200</c:v>
                </c:pt>
                <c:pt idx="7">
                  <c:v>-13100</c:v>
                </c:pt>
                <c:pt idx="8">
                  <c:v>-12600</c:v>
                </c:pt>
                <c:pt idx="9">
                  <c:v>-13600</c:v>
                </c:pt>
                <c:pt idx="10">
                  <c:v>-15000</c:v>
                </c:pt>
                <c:pt idx="11">
                  <c:v>-12400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A-45CF-9D20-56C44AA35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971408"/>
        <c:axId val="1652969008"/>
      </c:barChart>
      <c:catAx>
        <c:axId val="165297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69008"/>
        <c:crosses val="autoZero"/>
        <c:auto val="1"/>
        <c:lblAlgn val="ctr"/>
        <c:lblOffset val="100"/>
        <c:noMultiLvlLbl val="0"/>
      </c:catAx>
      <c:valAx>
        <c:axId val="16529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7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Variance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Actuals!$I$4</c:f>
              <c:strCache>
                <c:ptCount val="1"/>
                <c:pt idx="0">
                  <c:v>Profit Variance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Actuals!$B$5:$B$16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Actuals!$I$5:$I$16</c:f>
              <c:numCache>
                <c:formatCode>_("$"* #,##0_);_("$"* \(#,##0\);_("$"* "-"??_);_(@_)</c:formatCode>
                <c:ptCount val="12"/>
                <c:pt idx="0">
                  <c:v>304.16666666667152</c:v>
                </c:pt>
                <c:pt idx="1">
                  <c:v>-995.83333333332848</c:v>
                </c:pt>
                <c:pt idx="2">
                  <c:v>1404.1666666666715</c:v>
                </c:pt>
                <c:pt idx="3">
                  <c:v>1704.1666666666715</c:v>
                </c:pt>
                <c:pt idx="4">
                  <c:v>-1795.8333333333285</c:v>
                </c:pt>
                <c:pt idx="5">
                  <c:v>-1095.8333333333285</c:v>
                </c:pt>
                <c:pt idx="6">
                  <c:v>4.1666666666715173</c:v>
                </c:pt>
                <c:pt idx="7">
                  <c:v>1104.1666666666715</c:v>
                </c:pt>
                <c:pt idx="8">
                  <c:v>1604.1666666666715</c:v>
                </c:pt>
                <c:pt idx="9">
                  <c:v>604.16666666667152</c:v>
                </c:pt>
                <c:pt idx="10">
                  <c:v>-795.83333333332848</c:v>
                </c:pt>
                <c:pt idx="11">
                  <c:v>1804.1666666666715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2-4970-ADB1-51C4299BD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633168"/>
        <c:axId val="1592646128"/>
      </c:barChart>
      <c:lineChart>
        <c:grouping val="standard"/>
        <c:varyColors val="0"/>
        <c:ser>
          <c:idx val="1"/>
          <c:order val="1"/>
          <c:tx>
            <c:strRef>
              <c:f>Actuals!$J$4</c:f>
              <c:strCache>
                <c:ptCount val="1"/>
                <c:pt idx="0">
                  <c:v>Profit var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Actuals!$B$5:$B$16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Actuals!$J$5:$J$16</c:f>
              <c:numCache>
                <c:formatCode>0%</c:formatCode>
                <c:ptCount val="12"/>
                <c:pt idx="0">
                  <c:v>2.1413904370783554E-2</c:v>
                </c:pt>
                <c:pt idx="1">
                  <c:v>-7.010853622763237E-2</c:v>
                </c:pt>
                <c:pt idx="2">
                  <c:v>9.885596949252011E-2</c:v>
                </c:pt>
                <c:pt idx="3">
                  <c:v>0.11997653270753916</c:v>
                </c:pt>
                <c:pt idx="4">
                  <c:v>-0.12643003813434986</c:v>
                </c:pt>
                <c:pt idx="5">
                  <c:v>-7.7148723965972055E-2</c:v>
                </c:pt>
                <c:pt idx="6">
                  <c:v>2.9334115576449513E-4</c:v>
                </c:pt>
                <c:pt idx="7">
                  <c:v>7.7735406277501043E-2</c:v>
                </c:pt>
                <c:pt idx="8">
                  <c:v>0.11293634496919948</c:v>
                </c:pt>
                <c:pt idx="9">
                  <c:v>4.2534467585802614E-2</c:v>
                </c:pt>
                <c:pt idx="10">
                  <c:v>-5.6028160750952995E-2</c:v>
                </c:pt>
                <c:pt idx="11">
                  <c:v>0.12701672044587886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22-4970-ADB1-51C4299BD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647088"/>
        <c:axId val="1592636048"/>
      </c:lineChart>
      <c:catAx>
        <c:axId val="159263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46128"/>
        <c:crosses val="autoZero"/>
        <c:auto val="1"/>
        <c:lblAlgn val="ctr"/>
        <c:lblOffset val="100"/>
        <c:noMultiLvlLbl val="0"/>
      </c:catAx>
      <c:valAx>
        <c:axId val="159264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33168"/>
        <c:crosses val="autoZero"/>
        <c:crossBetween val="between"/>
      </c:valAx>
      <c:valAx>
        <c:axId val="159263604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47088"/>
        <c:crosses val="max"/>
        <c:crossBetween val="between"/>
      </c:valAx>
      <c:catAx>
        <c:axId val="1592647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263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Revenue Variance Act VS Bud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Revenue Variance Act VS Bud (%)</a:t>
          </a:r>
        </a:p>
      </cx:txPr>
    </cx:title>
    <cx:plotArea>
      <cx:plotAreaRegion>
        <cx:series layoutId="waterfall" uniqueId="{4B5C8084-7C37-410B-9D9C-043E76BF3996}">
          <cx:tx>
            <cx:txData>
              <cx:f>_xlchart.v1.4</cx:f>
              <cx:v>Rev Var(%)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171450</xdr:rowOff>
    </xdr:from>
    <xdr:to>
      <xdr:col>7</xdr:col>
      <xdr:colOff>622300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8A185-2564-44D2-8E02-8CE25F0FF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</xdr:row>
      <xdr:rowOff>158750</xdr:rowOff>
    </xdr:from>
    <xdr:to>
      <xdr:col>15</xdr:col>
      <xdr:colOff>596900</xdr:colOff>
      <xdr:row>18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6E1223-0C96-462D-83CC-87E932CDD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8</xdr:col>
      <xdr:colOff>0</xdr:colOff>
      <xdr:row>35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F420B21-18A4-46F2-AE7E-FDCD221DB3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4064000"/>
              <a:ext cx="4330700" cy="2571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22</xdr:row>
      <xdr:rowOff>0</xdr:rowOff>
    </xdr:from>
    <xdr:to>
      <xdr:col>15</xdr:col>
      <xdr:colOff>596900</xdr:colOff>
      <xdr:row>35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9F5484-CC19-41E8-9DFC-5E0F57CEA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4</xdr:row>
      <xdr:rowOff>0</xdr:rowOff>
    </xdr:from>
    <xdr:to>
      <xdr:col>24</xdr:col>
      <xdr:colOff>25400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59981B-1645-4A77-B980-E6EC60861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22</xdr:row>
      <xdr:rowOff>0</xdr:rowOff>
    </xdr:from>
    <xdr:to>
      <xdr:col>23</xdr:col>
      <xdr:colOff>596900</xdr:colOff>
      <xdr:row>36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7BBBDA-F570-4267-85E8-DBEE78C79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5600-C3B5-43C2-8C25-5A08F9B4372F}">
  <dimension ref="B2:H21"/>
  <sheetViews>
    <sheetView showGridLines="0" workbookViewId="0">
      <selection activeCell="E14" sqref="E14"/>
    </sheetView>
  </sheetViews>
  <sheetFormatPr defaultRowHeight="14.5" x14ac:dyDescent="0.35"/>
  <cols>
    <col min="1" max="1" width="3.7265625" customWidth="1"/>
    <col min="2" max="2" width="24" customWidth="1"/>
    <col min="3" max="3" width="14.81640625" customWidth="1"/>
    <col min="5" max="5" width="13.453125" customWidth="1"/>
    <col min="7" max="7" width="20.26953125" customWidth="1"/>
  </cols>
  <sheetData>
    <row r="2" spans="2:8" ht="15" thickBot="1" x14ac:dyDescent="0.4"/>
    <row r="3" spans="2:8" ht="15" thickBot="1" x14ac:dyDescent="0.4">
      <c r="B3" s="5" t="s">
        <v>9</v>
      </c>
    </row>
    <row r="4" spans="2:8" ht="15" thickBot="1" x14ac:dyDescent="0.4">
      <c r="B4" s="1"/>
      <c r="C4" s="1"/>
      <c r="D4" s="1"/>
      <c r="E4" s="1"/>
      <c r="G4" s="1"/>
      <c r="H4" s="1"/>
    </row>
    <row r="5" spans="2:8" x14ac:dyDescent="0.35">
      <c r="B5" s="15" t="s">
        <v>7</v>
      </c>
      <c r="C5" s="16" t="s">
        <v>8</v>
      </c>
      <c r="D5" s="3"/>
      <c r="E5" s="3"/>
      <c r="G5" s="2"/>
      <c r="H5" s="4"/>
    </row>
    <row r="6" spans="2:8" ht="15" thickBot="1" x14ac:dyDescent="0.4">
      <c r="B6" s="13" t="s">
        <v>16</v>
      </c>
      <c r="C6" s="14"/>
      <c r="D6" s="3"/>
      <c r="E6" s="3"/>
      <c r="G6" s="2"/>
      <c r="H6" s="4"/>
    </row>
    <row r="7" spans="2:8" x14ac:dyDescent="0.35">
      <c r="B7" s="8" t="s">
        <v>10</v>
      </c>
      <c r="C7" s="7">
        <v>50</v>
      </c>
      <c r="D7" s="3"/>
      <c r="E7" s="3"/>
    </row>
    <row r="8" spans="2:8" x14ac:dyDescent="0.35">
      <c r="B8" s="8" t="s">
        <v>11</v>
      </c>
      <c r="C8" s="9">
        <v>1000</v>
      </c>
      <c r="D8" s="3"/>
      <c r="E8" s="3"/>
    </row>
    <row r="9" spans="2:8" ht="29" x14ac:dyDescent="0.35">
      <c r="B9" s="8" t="s">
        <v>17</v>
      </c>
      <c r="C9" s="10">
        <v>0.05</v>
      </c>
      <c r="D9" s="3"/>
      <c r="E9" s="3"/>
    </row>
    <row r="10" spans="2:8" x14ac:dyDescent="0.35">
      <c r="B10" s="8"/>
      <c r="C10" s="7"/>
    </row>
    <row r="11" spans="2:8" x14ac:dyDescent="0.35">
      <c r="B11" s="6" t="s">
        <v>18</v>
      </c>
      <c r="C11" s="7"/>
    </row>
    <row r="12" spans="2:8" x14ac:dyDescent="0.35">
      <c r="B12" s="8" t="s">
        <v>12</v>
      </c>
      <c r="C12" s="7">
        <v>30</v>
      </c>
    </row>
    <row r="13" spans="2:8" x14ac:dyDescent="0.35">
      <c r="B13" s="8" t="s">
        <v>19</v>
      </c>
      <c r="C13" s="10">
        <v>0.02</v>
      </c>
    </row>
    <row r="14" spans="2:8" x14ac:dyDescent="0.35">
      <c r="B14" s="8"/>
      <c r="C14" s="7"/>
    </row>
    <row r="15" spans="2:8" x14ac:dyDescent="0.35">
      <c r="B15" s="6" t="s">
        <v>20</v>
      </c>
      <c r="C15" s="7"/>
    </row>
    <row r="16" spans="2:8" ht="29" x14ac:dyDescent="0.35">
      <c r="B16" s="8" t="s">
        <v>13</v>
      </c>
      <c r="C16" s="9">
        <v>5000</v>
      </c>
    </row>
    <row r="17" spans="2:3" x14ac:dyDescent="0.35">
      <c r="B17" s="8" t="s">
        <v>14</v>
      </c>
      <c r="C17" s="9">
        <v>20000</v>
      </c>
    </row>
    <row r="18" spans="2:3" x14ac:dyDescent="0.35">
      <c r="B18" s="8" t="s">
        <v>15</v>
      </c>
      <c r="C18" s="9">
        <v>8000</v>
      </c>
    </row>
    <row r="19" spans="2:3" x14ac:dyDescent="0.35">
      <c r="B19" s="8"/>
      <c r="C19" s="7"/>
    </row>
    <row r="20" spans="2:3" x14ac:dyDescent="0.35">
      <c r="B20" s="6" t="s">
        <v>21</v>
      </c>
      <c r="C20" s="7"/>
    </row>
    <row r="21" spans="2:3" ht="15" thickBot="1" x14ac:dyDescent="0.4">
      <c r="B21" s="11" t="s">
        <v>22</v>
      </c>
      <c r="C21" s="12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4F5F-479F-4C72-92A4-62711BD1D247}">
  <dimension ref="A1:O18"/>
  <sheetViews>
    <sheetView showGridLines="0" zoomScale="79" workbookViewId="0">
      <selection activeCell="G5" sqref="G5"/>
    </sheetView>
  </sheetViews>
  <sheetFormatPr defaultRowHeight="14.5" x14ac:dyDescent="0.35"/>
  <cols>
    <col min="1" max="1" width="4.1796875" customWidth="1"/>
    <col min="2" max="2" width="19.6328125" customWidth="1"/>
    <col min="4" max="4" width="13.6328125" customWidth="1"/>
    <col min="5" max="5" width="10.90625" bestFit="1" customWidth="1"/>
    <col min="6" max="6" width="11.453125" bestFit="1" customWidth="1"/>
    <col min="7" max="7" width="17.08984375" customWidth="1"/>
    <col min="8" max="8" width="11.453125" bestFit="1" customWidth="1"/>
    <col min="9" max="11" width="10.90625" bestFit="1" customWidth="1"/>
    <col min="12" max="12" width="13.26953125" customWidth="1"/>
    <col min="13" max="13" width="9.90625" customWidth="1"/>
    <col min="14" max="14" width="8.81640625" bestFit="1" customWidth="1"/>
    <col min="15" max="15" width="11.7265625" bestFit="1" customWidth="1"/>
  </cols>
  <sheetData>
    <row r="1" spans="1:15" ht="15" thickBot="1" x14ac:dyDescent="0.4"/>
    <row r="2" spans="1:15" ht="15" thickBot="1" x14ac:dyDescent="0.4">
      <c r="B2" s="26" t="s">
        <v>41</v>
      </c>
      <c r="C2" s="27"/>
      <c r="D2" s="28"/>
    </row>
    <row r="4" spans="1:15" ht="15" thickBot="1" x14ac:dyDescent="0.4">
      <c r="A4" s="1"/>
      <c r="B4" s="1"/>
      <c r="C4" s="1"/>
      <c r="D4" s="1"/>
      <c r="G4" s="1"/>
      <c r="H4" s="1"/>
    </row>
    <row r="5" spans="1:15" ht="29.5" thickBot="1" x14ac:dyDescent="0.4">
      <c r="A5" s="2"/>
      <c r="B5" s="23" t="s">
        <v>0</v>
      </c>
      <c r="C5" s="24" t="s">
        <v>23</v>
      </c>
      <c r="D5" s="24" t="s">
        <v>24</v>
      </c>
      <c r="E5" s="24" t="s">
        <v>25</v>
      </c>
      <c r="F5" s="24" t="s">
        <v>26</v>
      </c>
      <c r="G5" s="24" t="s">
        <v>27</v>
      </c>
      <c r="H5" s="24" t="s">
        <v>28</v>
      </c>
      <c r="I5" s="24" t="s">
        <v>29</v>
      </c>
      <c r="J5" s="24" t="s">
        <v>30</v>
      </c>
      <c r="K5" s="24" t="s">
        <v>31</v>
      </c>
      <c r="L5" s="24" t="s">
        <v>20</v>
      </c>
      <c r="M5" s="24" t="s">
        <v>32</v>
      </c>
      <c r="N5" s="24" t="s">
        <v>33</v>
      </c>
      <c r="O5" s="25" t="s">
        <v>34</v>
      </c>
    </row>
    <row r="6" spans="1:15" x14ac:dyDescent="0.35">
      <c r="A6" s="2"/>
      <c r="B6" s="8" t="s">
        <v>1</v>
      </c>
      <c r="C6" s="17">
        <f>Assumption!$C$8</f>
        <v>1000</v>
      </c>
      <c r="D6" s="18">
        <f>Assumption!$C$7</f>
        <v>50</v>
      </c>
      <c r="E6" s="18">
        <f>C6*D6</f>
        <v>50000</v>
      </c>
      <c r="F6" s="18">
        <f>E6*(5%/12)</f>
        <v>208.33333333333334</v>
      </c>
      <c r="G6" s="18">
        <f>E6-F6</f>
        <v>49791.666666666664</v>
      </c>
      <c r="H6" s="18">
        <f>G6*2%</f>
        <v>995.83333333333326</v>
      </c>
      <c r="I6" s="18">
        <f>G6-H6</f>
        <v>48795.833333333328</v>
      </c>
      <c r="J6" s="18">
        <f>C6*Assumption!$C$12</f>
        <v>30000</v>
      </c>
      <c r="K6" s="18">
        <f>I6-J6</f>
        <v>18795.833333333328</v>
      </c>
      <c r="L6" s="18">
        <f>Assumption!$C$16+Assumption!$C$17+Assumption!$C$18</f>
        <v>33000</v>
      </c>
      <c r="M6" s="18">
        <f>K6-L6</f>
        <v>-14204.166666666672</v>
      </c>
      <c r="N6" s="18">
        <f>IF(L6&lt;0, L6*20%,0)</f>
        <v>0</v>
      </c>
      <c r="O6" s="19">
        <f>M6-N6</f>
        <v>-14204.166666666672</v>
      </c>
    </row>
    <row r="7" spans="1:15" x14ac:dyDescent="0.35">
      <c r="A7" s="2"/>
      <c r="B7" s="8" t="s">
        <v>2</v>
      </c>
      <c r="C7" s="17">
        <f>Assumption!$C$8</f>
        <v>1000</v>
      </c>
      <c r="D7" s="18">
        <f>Assumption!$C$7</f>
        <v>50</v>
      </c>
      <c r="E7" s="18">
        <f t="shared" ref="E7:E17" si="0">C7*D7</f>
        <v>50000</v>
      </c>
      <c r="F7" s="18">
        <f t="shared" ref="F7:F17" si="1">E7*(5%/12)</f>
        <v>208.33333333333334</v>
      </c>
      <c r="G7" s="18">
        <f t="shared" ref="G7:G17" si="2">E7-F7</f>
        <v>49791.666666666664</v>
      </c>
      <c r="H7" s="18">
        <f t="shared" ref="H7:H17" si="3">G7*2%</f>
        <v>995.83333333333326</v>
      </c>
      <c r="I7" s="18">
        <f t="shared" ref="I7:I17" si="4">G7-H7</f>
        <v>48795.833333333328</v>
      </c>
      <c r="J7" s="18">
        <f>C7*Assumption!$C$12</f>
        <v>30000</v>
      </c>
      <c r="K7" s="18">
        <f t="shared" ref="K7:K17" si="5">I7-J7</f>
        <v>18795.833333333328</v>
      </c>
      <c r="L7" s="18">
        <f>Assumption!$C$16+Assumption!$C$17+Assumption!$C$18</f>
        <v>33000</v>
      </c>
      <c r="M7" s="18">
        <f t="shared" ref="M7:M17" si="6">K7-L7</f>
        <v>-14204.166666666672</v>
      </c>
      <c r="N7" s="18">
        <f t="shared" ref="N7:N17" si="7">IF(L7&lt;0, L7*20%,0)</f>
        <v>0</v>
      </c>
      <c r="O7" s="19">
        <f t="shared" ref="O7:O17" si="8">M7-N7</f>
        <v>-14204.166666666672</v>
      </c>
    </row>
    <row r="8" spans="1:15" x14ac:dyDescent="0.35">
      <c r="A8" s="2"/>
      <c r="B8" s="8" t="s">
        <v>3</v>
      </c>
      <c r="C8" s="17">
        <f>Assumption!$C$8</f>
        <v>1000</v>
      </c>
      <c r="D8" s="18">
        <f>Assumption!$C$7</f>
        <v>50</v>
      </c>
      <c r="E8" s="18">
        <f t="shared" si="0"/>
        <v>50000</v>
      </c>
      <c r="F8" s="18">
        <f t="shared" si="1"/>
        <v>208.33333333333334</v>
      </c>
      <c r="G8" s="18">
        <f t="shared" si="2"/>
        <v>49791.666666666664</v>
      </c>
      <c r="H8" s="18">
        <f t="shared" si="3"/>
        <v>995.83333333333326</v>
      </c>
      <c r="I8" s="18">
        <f t="shared" si="4"/>
        <v>48795.833333333328</v>
      </c>
      <c r="J8" s="18">
        <f>C8*Assumption!$C$12</f>
        <v>30000</v>
      </c>
      <c r="K8" s="18">
        <f t="shared" si="5"/>
        <v>18795.833333333328</v>
      </c>
      <c r="L8" s="18">
        <f>Assumption!$C$16+Assumption!$C$17+Assumption!$C$18</f>
        <v>33000</v>
      </c>
      <c r="M8" s="18">
        <f t="shared" si="6"/>
        <v>-14204.166666666672</v>
      </c>
      <c r="N8" s="18">
        <f t="shared" si="7"/>
        <v>0</v>
      </c>
      <c r="O8" s="19">
        <f t="shared" si="8"/>
        <v>-14204.166666666672</v>
      </c>
    </row>
    <row r="9" spans="1:15" x14ac:dyDescent="0.35">
      <c r="A9" s="2"/>
      <c r="B9" s="8" t="s">
        <v>4</v>
      </c>
      <c r="C9" s="17">
        <f>Assumption!$C$8</f>
        <v>1000</v>
      </c>
      <c r="D9" s="18">
        <f>Assumption!$C$7</f>
        <v>50</v>
      </c>
      <c r="E9" s="18">
        <f t="shared" si="0"/>
        <v>50000</v>
      </c>
      <c r="F9" s="18">
        <f t="shared" si="1"/>
        <v>208.33333333333334</v>
      </c>
      <c r="G9" s="18">
        <f t="shared" si="2"/>
        <v>49791.666666666664</v>
      </c>
      <c r="H9" s="18">
        <f t="shared" si="3"/>
        <v>995.83333333333326</v>
      </c>
      <c r="I9" s="18">
        <f t="shared" si="4"/>
        <v>48795.833333333328</v>
      </c>
      <c r="J9" s="18">
        <f>C9*Assumption!$C$12</f>
        <v>30000</v>
      </c>
      <c r="K9" s="18">
        <f t="shared" si="5"/>
        <v>18795.833333333328</v>
      </c>
      <c r="L9" s="18">
        <f>Assumption!$C$16+Assumption!$C$17+Assumption!$C$18</f>
        <v>33000</v>
      </c>
      <c r="M9" s="18">
        <f t="shared" si="6"/>
        <v>-14204.166666666672</v>
      </c>
      <c r="N9" s="18">
        <f t="shared" si="7"/>
        <v>0</v>
      </c>
      <c r="O9" s="19">
        <f t="shared" si="8"/>
        <v>-14204.166666666672</v>
      </c>
    </row>
    <row r="10" spans="1:15" x14ac:dyDescent="0.35">
      <c r="A10" s="2"/>
      <c r="B10" s="8" t="s">
        <v>5</v>
      </c>
      <c r="C10" s="17">
        <f>Assumption!$C$8</f>
        <v>1000</v>
      </c>
      <c r="D10" s="18">
        <f>Assumption!$C$7</f>
        <v>50</v>
      </c>
      <c r="E10" s="18">
        <f t="shared" si="0"/>
        <v>50000</v>
      </c>
      <c r="F10" s="18">
        <f t="shared" si="1"/>
        <v>208.33333333333334</v>
      </c>
      <c r="G10" s="18">
        <f t="shared" si="2"/>
        <v>49791.666666666664</v>
      </c>
      <c r="H10" s="18">
        <f t="shared" si="3"/>
        <v>995.83333333333326</v>
      </c>
      <c r="I10" s="18">
        <f t="shared" si="4"/>
        <v>48795.833333333328</v>
      </c>
      <c r="J10" s="18">
        <f>C10*Assumption!$C$12</f>
        <v>30000</v>
      </c>
      <c r="K10" s="18">
        <f t="shared" si="5"/>
        <v>18795.833333333328</v>
      </c>
      <c r="L10" s="18">
        <f>Assumption!$C$16+Assumption!$C$17+Assumption!$C$18</f>
        <v>33000</v>
      </c>
      <c r="M10" s="18">
        <f t="shared" si="6"/>
        <v>-14204.166666666672</v>
      </c>
      <c r="N10" s="18">
        <f t="shared" si="7"/>
        <v>0</v>
      </c>
      <c r="O10" s="19">
        <f t="shared" si="8"/>
        <v>-14204.166666666672</v>
      </c>
    </row>
    <row r="11" spans="1:15" x14ac:dyDescent="0.35">
      <c r="B11" s="8" t="s">
        <v>6</v>
      </c>
      <c r="C11" s="17">
        <f>Assumption!$C$8</f>
        <v>1000</v>
      </c>
      <c r="D11" s="18">
        <f>Assumption!$C$7</f>
        <v>50</v>
      </c>
      <c r="E11" s="18">
        <f t="shared" si="0"/>
        <v>50000</v>
      </c>
      <c r="F11" s="18">
        <f t="shared" si="1"/>
        <v>208.33333333333334</v>
      </c>
      <c r="G11" s="18">
        <f t="shared" si="2"/>
        <v>49791.666666666664</v>
      </c>
      <c r="H11" s="18">
        <f t="shared" si="3"/>
        <v>995.83333333333326</v>
      </c>
      <c r="I11" s="18">
        <f t="shared" si="4"/>
        <v>48795.833333333328</v>
      </c>
      <c r="J11" s="18">
        <f>C11*Assumption!$C$12</f>
        <v>30000</v>
      </c>
      <c r="K11" s="18">
        <f t="shared" si="5"/>
        <v>18795.833333333328</v>
      </c>
      <c r="L11" s="18">
        <f>Assumption!$C$16+Assumption!$C$17+Assumption!$C$18</f>
        <v>33000</v>
      </c>
      <c r="M11" s="18">
        <f t="shared" si="6"/>
        <v>-14204.166666666672</v>
      </c>
      <c r="N11" s="18">
        <f t="shared" si="7"/>
        <v>0</v>
      </c>
      <c r="O11" s="19">
        <f t="shared" si="8"/>
        <v>-14204.166666666672</v>
      </c>
    </row>
    <row r="12" spans="1:15" x14ac:dyDescent="0.35">
      <c r="B12" s="8" t="s">
        <v>36</v>
      </c>
      <c r="C12" s="17">
        <f>Assumption!$C$8</f>
        <v>1000</v>
      </c>
      <c r="D12" s="18">
        <f>Assumption!$C$7</f>
        <v>50</v>
      </c>
      <c r="E12" s="18">
        <f t="shared" si="0"/>
        <v>50000</v>
      </c>
      <c r="F12" s="18">
        <f t="shared" si="1"/>
        <v>208.33333333333334</v>
      </c>
      <c r="G12" s="18">
        <f t="shared" si="2"/>
        <v>49791.666666666664</v>
      </c>
      <c r="H12" s="18">
        <f t="shared" si="3"/>
        <v>995.83333333333326</v>
      </c>
      <c r="I12" s="18">
        <f t="shared" si="4"/>
        <v>48795.833333333328</v>
      </c>
      <c r="J12" s="18">
        <f>C12*Assumption!$C$12</f>
        <v>30000</v>
      </c>
      <c r="K12" s="18">
        <f t="shared" si="5"/>
        <v>18795.833333333328</v>
      </c>
      <c r="L12" s="18">
        <f>Assumption!$C$16+Assumption!$C$17+Assumption!$C$18</f>
        <v>33000</v>
      </c>
      <c r="M12" s="18">
        <f t="shared" si="6"/>
        <v>-14204.166666666672</v>
      </c>
      <c r="N12" s="18">
        <f t="shared" si="7"/>
        <v>0</v>
      </c>
      <c r="O12" s="19">
        <f t="shared" si="8"/>
        <v>-14204.166666666672</v>
      </c>
    </row>
    <row r="13" spans="1:15" x14ac:dyDescent="0.35">
      <c r="B13" s="8" t="s">
        <v>37</v>
      </c>
      <c r="C13" s="17">
        <f>Assumption!$C$8</f>
        <v>1000</v>
      </c>
      <c r="D13" s="18">
        <f>Assumption!$C$7</f>
        <v>50</v>
      </c>
      <c r="E13" s="18">
        <f t="shared" si="0"/>
        <v>50000</v>
      </c>
      <c r="F13" s="18">
        <f t="shared" si="1"/>
        <v>208.33333333333334</v>
      </c>
      <c r="G13" s="18">
        <f t="shared" si="2"/>
        <v>49791.666666666664</v>
      </c>
      <c r="H13" s="18">
        <f t="shared" si="3"/>
        <v>995.83333333333326</v>
      </c>
      <c r="I13" s="18">
        <f t="shared" si="4"/>
        <v>48795.833333333328</v>
      </c>
      <c r="J13" s="18">
        <f>C13*Assumption!$C$12</f>
        <v>30000</v>
      </c>
      <c r="K13" s="18">
        <f t="shared" si="5"/>
        <v>18795.833333333328</v>
      </c>
      <c r="L13" s="18">
        <f>Assumption!$C$16+Assumption!$C$17+Assumption!$C$18</f>
        <v>33000</v>
      </c>
      <c r="M13" s="18">
        <f t="shared" si="6"/>
        <v>-14204.166666666672</v>
      </c>
      <c r="N13" s="18">
        <f t="shared" si="7"/>
        <v>0</v>
      </c>
      <c r="O13" s="19">
        <f t="shared" si="8"/>
        <v>-14204.166666666672</v>
      </c>
    </row>
    <row r="14" spans="1:15" x14ac:dyDescent="0.35">
      <c r="B14" s="8" t="s">
        <v>38</v>
      </c>
      <c r="C14" s="17">
        <f>Assumption!$C$8</f>
        <v>1000</v>
      </c>
      <c r="D14" s="18">
        <f>Assumption!$C$7</f>
        <v>50</v>
      </c>
      <c r="E14" s="18">
        <f t="shared" si="0"/>
        <v>50000</v>
      </c>
      <c r="F14" s="18">
        <f t="shared" si="1"/>
        <v>208.33333333333334</v>
      </c>
      <c r="G14" s="18">
        <f t="shared" si="2"/>
        <v>49791.666666666664</v>
      </c>
      <c r="H14" s="18">
        <f t="shared" si="3"/>
        <v>995.83333333333326</v>
      </c>
      <c r="I14" s="18">
        <f t="shared" si="4"/>
        <v>48795.833333333328</v>
      </c>
      <c r="J14" s="18">
        <f>C14*Assumption!$C$12</f>
        <v>30000</v>
      </c>
      <c r="K14" s="18">
        <f t="shared" si="5"/>
        <v>18795.833333333328</v>
      </c>
      <c r="L14" s="18">
        <f>Assumption!$C$16+Assumption!$C$17+Assumption!$C$18</f>
        <v>33000</v>
      </c>
      <c r="M14" s="18">
        <f t="shared" si="6"/>
        <v>-14204.166666666672</v>
      </c>
      <c r="N14" s="18">
        <f t="shared" si="7"/>
        <v>0</v>
      </c>
      <c r="O14" s="19">
        <f t="shared" si="8"/>
        <v>-14204.166666666672</v>
      </c>
    </row>
    <row r="15" spans="1:15" x14ac:dyDescent="0.35">
      <c r="B15" s="8" t="s">
        <v>39</v>
      </c>
      <c r="C15" s="17">
        <f>Assumption!$C$8</f>
        <v>1000</v>
      </c>
      <c r="D15" s="18">
        <f>Assumption!$C$7</f>
        <v>50</v>
      </c>
      <c r="E15" s="18">
        <f t="shared" si="0"/>
        <v>50000</v>
      </c>
      <c r="F15" s="18">
        <f t="shared" si="1"/>
        <v>208.33333333333334</v>
      </c>
      <c r="G15" s="18">
        <f t="shared" si="2"/>
        <v>49791.666666666664</v>
      </c>
      <c r="H15" s="18">
        <f t="shared" si="3"/>
        <v>995.83333333333326</v>
      </c>
      <c r="I15" s="18">
        <f t="shared" si="4"/>
        <v>48795.833333333328</v>
      </c>
      <c r="J15" s="18">
        <f>C15*Assumption!$C$12</f>
        <v>30000</v>
      </c>
      <c r="K15" s="18">
        <f t="shared" si="5"/>
        <v>18795.833333333328</v>
      </c>
      <c r="L15" s="18">
        <f>Assumption!$C$16+Assumption!$C$17+Assumption!$C$18</f>
        <v>33000</v>
      </c>
      <c r="M15" s="18">
        <f t="shared" si="6"/>
        <v>-14204.166666666672</v>
      </c>
      <c r="N15" s="18">
        <f t="shared" si="7"/>
        <v>0</v>
      </c>
      <c r="O15" s="19">
        <f t="shared" si="8"/>
        <v>-14204.166666666672</v>
      </c>
    </row>
    <row r="16" spans="1:15" x14ac:dyDescent="0.35">
      <c r="B16" s="8" t="s">
        <v>40</v>
      </c>
      <c r="C16" s="17">
        <f>Assumption!$C$8</f>
        <v>1000</v>
      </c>
      <c r="D16" s="18">
        <f>Assumption!$C$7</f>
        <v>50</v>
      </c>
      <c r="E16" s="18">
        <f t="shared" si="0"/>
        <v>50000</v>
      </c>
      <c r="F16" s="18">
        <f t="shared" si="1"/>
        <v>208.33333333333334</v>
      </c>
      <c r="G16" s="18">
        <f t="shared" si="2"/>
        <v>49791.666666666664</v>
      </c>
      <c r="H16" s="18">
        <f t="shared" si="3"/>
        <v>995.83333333333326</v>
      </c>
      <c r="I16" s="18">
        <f t="shared" si="4"/>
        <v>48795.833333333328</v>
      </c>
      <c r="J16" s="18">
        <f>C16*Assumption!$C$12</f>
        <v>30000</v>
      </c>
      <c r="K16" s="18">
        <f t="shared" si="5"/>
        <v>18795.833333333328</v>
      </c>
      <c r="L16" s="18">
        <f>Assumption!$C$16+Assumption!$C$17+Assumption!$C$18</f>
        <v>33000</v>
      </c>
      <c r="M16" s="18">
        <f t="shared" si="6"/>
        <v>-14204.166666666672</v>
      </c>
      <c r="N16" s="18">
        <f t="shared" si="7"/>
        <v>0</v>
      </c>
      <c r="O16" s="19">
        <f t="shared" si="8"/>
        <v>-14204.166666666672</v>
      </c>
    </row>
    <row r="17" spans="2:15" x14ac:dyDescent="0.35">
      <c r="B17" s="8" t="s">
        <v>35</v>
      </c>
      <c r="C17" s="17">
        <f>Assumption!$C$8</f>
        <v>1000</v>
      </c>
      <c r="D17" s="18">
        <f>Assumption!$C$7</f>
        <v>50</v>
      </c>
      <c r="E17" s="18">
        <f t="shared" si="0"/>
        <v>50000</v>
      </c>
      <c r="F17" s="18">
        <f t="shared" si="1"/>
        <v>208.33333333333334</v>
      </c>
      <c r="G17" s="18">
        <f t="shared" si="2"/>
        <v>49791.666666666664</v>
      </c>
      <c r="H17" s="18">
        <f t="shared" si="3"/>
        <v>995.83333333333326</v>
      </c>
      <c r="I17" s="18">
        <f t="shared" si="4"/>
        <v>48795.833333333328</v>
      </c>
      <c r="J17" s="18">
        <f>C17*Assumption!$C$12</f>
        <v>30000</v>
      </c>
      <c r="K17" s="18">
        <f t="shared" si="5"/>
        <v>18795.833333333328</v>
      </c>
      <c r="L17" s="18">
        <f>Assumption!$C$16+Assumption!$C$17+Assumption!$C$18</f>
        <v>33000</v>
      </c>
      <c r="M17" s="18">
        <f t="shared" si="6"/>
        <v>-14204.166666666672</v>
      </c>
      <c r="N17" s="18">
        <f t="shared" si="7"/>
        <v>0</v>
      </c>
      <c r="O17" s="19">
        <f t="shared" si="8"/>
        <v>-14204.166666666672</v>
      </c>
    </row>
    <row r="18" spans="2:15" ht="15" thickBot="1" x14ac:dyDescent="0.4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</row>
  </sheetData>
  <mergeCells count="1">
    <mergeCell ref="B2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8283-C9DA-4CD9-970A-8E1945894626}">
  <dimension ref="B1:O21"/>
  <sheetViews>
    <sheetView showGridLines="0" workbookViewId="0">
      <selection activeCell="I4" activeCellId="1" sqref="B4:B16 I4:J16"/>
    </sheetView>
  </sheetViews>
  <sheetFormatPr defaultRowHeight="14.5" x14ac:dyDescent="0.35"/>
  <cols>
    <col min="1" max="1" width="4.7265625" customWidth="1"/>
    <col min="3" max="3" width="11.36328125" bestFit="1" customWidth="1"/>
    <col min="4" max="4" width="12.7265625" customWidth="1"/>
    <col min="7" max="7" width="11.81640625" bestFit="1" customWidth="1"/>
    <col min="9" max="9" width="9.26953125" bestFit="1" customWidth="1"/>
    <col min="10" max="10" width="10" bestFit="1" customWidth="1"/>
  </cols>
  <sheetData>
    <row r="1" spans="2:15" ht="15" thickBot="1" x14ac:dyDescent="0.4"/>
    <row r="2" spans="2:15" ht="15" thickBot="1" x14ac:dyDescent="0.4">
      <c r="B2" s="29" t="s">
        <v>44</v>
      </c>
      <c r="C2" s="32"/>
      <c r="D2" s="30"/>
    </row>
    <row r="3" spans="2:15" ht="15" thickBot="1" x14ac:dyDescent="0.4"/>
    <row r="4" spans="2:15" ht="29.5" thickBot="1" x14ac:dyDescent="0.4">
      <c r="B4" s="23" t="s">
        <v>0</v>
      </c>
      <c r="C4" s="24" t="s">
        <v>45</v>
      </c>
      <c r="D4" s="24" t="s">
        <v>42</v>
      </c>
      <c r="E4" s="24" t="s">
        <v>46</v>
      </c>
      <c r="F4" s="24" t="s">
        <v>47</v>
      </c>
      <c r="G4" s="24" t="s">
        <v>48</v>
      </c>
      <c r="H4" s="24" t="s">
        <v>43</v>
      </c>
      <c r="I4" s="24" t="s">
        <v>49</v>
      </c>
      <c r="J4" s="25" t="s">
        <v>50</v>
      </c>
    </row>
    <row r="5" spans="2:15" x14ac:dyDescent="0.35">
      <c r="B5" s="8" t="s">
        <v>1</v>
      </c>
      <c r="C5" s="18">
        <f>Budgeting!$G$6</f>
        <v>49791.666666666664</v>
      </c>
      <c r="D5" s="18">
        <v>50500</v>
      </c>
      <c r="E5" s="33">
        <f>D5-C5</f>
        <v>708.33333333333576</v>
      </c>
      <c r="F5" s="34">
        <f>(D5-C5)/C5</f>
        <v>1.4225941422594191E-2</v>
      </c>
      <c r="G5" s="35">
        <f>Budgeting!$M$6</f>
        <v>-14204.166666666672</v>
      </c>
      <c r="H5" s="17">
        <v>-13900</v>
      </c>
      <c r="I5" s="33">
        <f>H5-G5</f>
        <v>304.16666666667152</v>
      </c>
      <c r="J5" s="36">
        <f>I5/ABS(G5)</f>
        <v>2.1413904370783554E-2</v>
      </c>
    </row>
    <row r="6" spans="2:15" x14ac:dyDescent="0.35">
      <c r="B6" s="8" t="s">
        <v>2</v>
      </c>
      <c r="C6" s="18">
        <f>Budgeting!$G$6</f>
        <v>49791.666666666664</v>
      </c>
      <c r="D6" s="18">
        <v>49000</v>
      </c>
      <c r="E6" s="33">
        <f t="shared" ref="E6:E16" si="0">D6-C6</f>
        <v>-791.66666666666424</v>
      </c>
      <c r="F6" s="34">
        <f t="shared" ref="F6:F16" si="1">(D6-C6)/C6</f>
        <v>-1.589958158995811E-2</v>
      </c>
      <c r="G6" s="35">
        <f>Budgeting!$M$6</f>
        <v>-14204.166666666672</v>
      </c>
      <c r="H6" s="17">
        <v>-15200</v>
      </c>
      <c r="I6" s="33">
        <f t="shared" ref="I6:I16" si="2">H6-G6</f>
        <v>-995.83333333332848</v>
      </c>
      <c r="J6" s="36">
        <f t="shared" ref="J6:J16" si="3">I6/ABS(G6)</f>
        <v>-7.010853622763237E-2</v>
      </c>
    </row>
    <row r="7" spans="2:15" x14ac:dyDescent="0.35">
      <c r="B7" s="8" t="s">
        <v>3</v>
      </c>
      <c r="C7" s="18">
        <f>Budgeting!$G$6</f>
        <v>49791.666666666664</v>
      </c>
      <c r="D7" s="18">
        <v>51200</v>
      </c>
      <c r="E7" s="33">
        <f t="shared" si="0"/>
        <v>1408.3333333333358</v>
      </c>
      <c r="F7" s="34">
        <f t="shared" si="1"/>
        <v>2.8284518828451934E-2</v>
      </c>
      <c r="G7" s="35">
        <f>Budgeting!$M$6</f>
        <v>-14204.166666666672</v>
      </c>
      <c r="H7" s="17">
        <v>-12800</v>
      </c>
      <c r="I7" s="33">
        <f t="shared" si="2"/>
        <v>1404.1666666666715</v>
      </c>
      <c r="J7" s="36">
        <f t="shared" si="3"/>
        <v>9.885596949252011E-2</v>
      </c>
    </row>
    <row r="8" spans="2:15" x14ac:dyDescent="0.35">
      <c r="B8" s="8" t="s">
        <v>4</v>
      </c>
      <c r="C8" s="18">
        <f>Budgeting!$G$6</f>
        <v>49791.666666666664</v>
      </c>
      <c r="D8" s="18">
        <v>52000</v>
      </c>
      <c r="E8" s="33">
        <f t="shared" si="0"/>
        <v>2208.3333333333358</v>
      </c>
      <c r="F8" s="34">
        <f t="shared" si="1"/>
        <v>4.4351464435146495E-2</v>
      </c>
      <c r="G8" s="35">
        <f>Budgeting!$M$6</f>
        <v>-14204.166666666672</v>
      </c>
      <c r="H8" s="17">
        <v>-12500</v>
      </c>
      <c r="I8" s="33">
        <f t="shared" si="2"/>
        <v>1704.1666666666715</v>
      </c>
      <c r="J8" s="36">
        <f t="shared" si="3"/>
        <v>0.11997653270753916</v>
      </c>
    </row>
    <row r="9" spans="2:15" x14ac:dyDescent="0.35">
      <c r="B9" s="8" t="s">
        <v>5</v>
      </c>
      <c r="C9" s="18">
        <f>Budgeting!$G$6</f>
        <v>49791.666666666664</v>
      </c>
      <c r="D9" s="18">
        <v>47500</v>
      </c>
      <c r="E9" s="33">
        <f t="shared" si="0"/>
        <v>-2291.6666666666642</v>
      </c>
      <c r="F9" s="34">
        <f t="shared" si="1"/>
        <v>-4.6025104602510414E-2</v>
      </c>
      <c r="G9" s="35">
        <f>Budgeting!$M$6</f>
        <v>-14204.166666666672</v>
      </c>
      <c r="H9" s="17">
        <v>-16000</v>
      </c>
      <c r="I9" s="33">
        <f t="shared" si="2"/>
        <v>-1795.8333333333285</v>
      </c>
      <c r="J9" s="36">
        <f t="shared" si="3"/>
        <v>-0.12643003813434986</v>
      </c>
      <c r="M9" s="1"/>
      <c r="N9" s="1"/>
      <c r="O9" s="1"/>
    </row>
    <row r="10" spans="2:15" x14ac:dyDescent="0.35">
      <c r="B10" s="8" t="s">
        <v>6</v>
      </c>
      <c r="C10" s="18">
        <f>Budgeting!$G$6</f>
        <v>49791.666666666664</v>
      </c>
      <c r="D10" s="18">
        <v>48200</v>
      </c>
      <c r="E10" s="33">
        <f t="shared" si="0"/>
        <v>-1591.6666666666642</v>
      </c>
      <c r="F10" s="34">
        <f t="shared" si="1"/>
        <v>-3.1966527196652675E-2</v>
      </c>
      <c r="G10" s="35">
        <f>Budgeting!$M$6</f>
        <v>-14204.166666666672</v>
      </c>
      <c r="H10" s="17">
        <v>-15300</v>
      </c>
      <c r="I10" s="33">
        <f t="shared" si="2"/>
        <v>-1095.8333333333285</v>
      </c>
      <c r="J10" s="36">
        <f t="shared" si="3"/>
        <v>-7.7148723965972055E-2</v>
      </c>
      <c r="M10" s="2"/>
      <c r="N10" s="3"/>
      <c r="O10" s="3"/>
    </row>
    <row r="11" spans="2:15" x14ac:dyDescent="0.35">
      <c r="B11" s="8" t="s">
        <v>36</v>
      </c>
      <c r="C11" s="18">
        <f>Budgeting!$G$6</f>
        <v>49791.666666666664</v>
      </c>
      <c r="D11" s="18">
        <v>49700</v>
      </c>
      <c r="E11" s="33">
        <f t="shared" si="0"/>
        <v>-91.666666666664241</v>
      </c>
      <c r="F11" s="34">
        <f t="shared" si="1"/>
        <v>-1.8410041841003697E-3</v>
      </c>
      <c r="G11" s="35">
        <f>Budgeting!$M$6</f>
        <v>-14204.166666666672</v>
      </c>
      <c r="H11" s="17">
        <v>-14200</v>
      </c>
      <c r="I11" s="33">
        <f t="shared" si="2"/>
        <v>4.1666666666715173</v>
      </c>
      <c r="J11" s="36">
        <f t="shared" si="3"/>
        <v>2.9334115576449513E-4</v>
      </c>
      <c r="M11" s="2"/>
      <c r="N11" s="3"/>
      <c r="O11" s="3"/>
    </row>
    <row r="12" spans="2:15" x14ac:dyDescent="0.35">
      <c r="B12" s="8" t="s">
        <v>37</v>
      </c>
      <c r="C12" s="18">
        <f>Budgeting!$G$6</f>
        <v>49791.666666666664</v>
      </c>
      <c r="D12" s="18">
        <v>51100</v>
      </c>
      <c r="E12" s="33">
        <f t="shared" si="0"/>
        <v>1308.3333333333358</v>
      </c>
      <c r="F12" s="34">
        <f t="shared" si="1"/>
        <v>2.6276150627615114E-2</v>
      </c>
      <c r="G12" s="35">
        <f>Budgeting!$M$6</f>
        <v>-14204.166666666672</v>
      </c>
      <c r="H12" s="17">
        <v>-13100</v>
      </c>
      <c r="I12" s="33">
        <f t="shared" si="2"/>
        <v>1104.1666666666715</v>
      </c>
      <c r="J12" s="36">
        <f t="shared" si="3"/>
        <v>7.7735406277501043E-2</v>
      </c>
      <c r="M12" s="2"/>
      <c r="N12" s="3"/>
      <c r="O12" s="3"/>
    </row>
    <row r="13" spans="2:15" x14ac:dyDescent="0.35">
      <c r="B13" s="8" t="s">
        <v>38</v>
      </c>
      <c r="C13" s="18">
        <f>Budgeting!$G$6</f>
        <v>49791.666666666664</v>
      </c>
      <c r="D13" s="18">
        <v>52500</v>
      </c>
      <c r="E13" s="33">
        <f t="shared" si="0"/>
        <v>2708.3333333333358</v>
      </c>
      <c r="F13" s="34">
        <f t="shared" si="1"/>
        <v>5.4393305439330596E-2</v>
      </c>
      <c r="G13" s="35">
        <f>Budgeting!$M$6</f>
        <v>-14204.166666666672</v>
      </c>
      <c r="H13" s="17">
        <v>-12600</v>
      </c>
      <c r="I13" s="33">
        <f t="shared" si="2"/>
        <v>1604.1666666666715</v>
      </c>
      <c r="J13" s="36">
        <f t="shared" si="3"/>
        <v>0.11293634496919948</v>
      </c>
      <c r="M13" s="2"/>
      <c r="N13" s="3"/>
      <c r="O13" s="3"/>
    </row>
    <row r="14" spans="2:15" x14ac:dyDescent="0.35">
      <c r="B14" s="8" t="s">
        <v>39</v>
      </c>
      <c r="C14" s="18">
        <f>Budgeting!$G$6</f>
        <v>49791.666666666664</v>
      </c>
      <c r="D14" s="18">
        <v>50900</v>
      </c>
      <c r="E14" s="33">
        <f t="shared" si="0"/>
        <v>1108.3333333333358</v>
      </c>
      <c r="F14" s="34">
        <f t="shared" si="1"/>
        <v>2.2259414225941472E-2</v>
      </c>
      <c r="G14" s="35">
        <f>Budgeting!$M$6</f>
        <v>-14204.166666666672</v>
      </c>
      <c r="H14" s="17">
        <v>-13600</v>
      </c>
      <c r="I14" s="33">
        <f t="shared" si="2"/>
        <v>604.16666666667152</v>
      </c>
      <c r="J14" s="36">
        <f t="shared" si="3"/>
        <v>4.2534467585802614E-2</v>
      </c>
      <c r="M14" s="2"/>
      <c r="N14" s="3"/>
      <c r="O14" s="3"/>
    </row>
    <row r="15" spans="2:15" x14ac:dyDescent="0.35">
      <c r="B15" s="8" t="s">
        <v>40</v>
      </c>
      <c r="C15" s="18">
        <f>Budgeting!$G$6</f>
        <v>49791.666666666664</v>
      </c>
      <c r="D15" s="18">
        <v>49300</v>
      </c>
      <c r="E15" s="33">
        <f t="shared" si="0"/>
        <v>-491.66666666666424</v>
      </c>
      <c r="F15" s="34">
        <f t="shared" si="1"/>
        <v>-9.8744769874476498E-3</v>
      </c>
      <c r="G15" s="35">
        <f>Budgeting!$M$6</f>
        <v>-14204.166666666672</v>
      </c>
      <c r="H15" s="17">
        <v>-15000</v>
      </c>
      <c r="I15" s="33">
        <f t="shared" si="2"/>
        <v>-795.83333333332848</v>
      </c>
      <c r="J15" s="36">
        <f t="shared" si="3"/>
        <v>-5.6028160750952995E-2</v>
      </c>
      <c r="M15" s="2"/>
      <c r="N15" s="3"/>
      <c r="O15" s="3"/>
    </row>
    <row r="16" spans="2:15" ht="15" thickBot="1" x14ac:dyDescent="0.4">
      <c r="B16" s="11" t="s">
        <v>35</v>
      </c>
      <c r="C16" s="31">
        <f>Budgeting!$G$6</f>
        <v>49791.666666666664</v>
      </c>
      <c r="D16" s="31">
        <v>52300</v>
      </c>
      <c r="E16" s="37">
        <f t="shared" si="0"/>
        <v>2508.3333333333358</v>
      </c>
      <c r="F16" s="38">
        <f t="shared" si="1"/>
        <v>5.0376569037656957E-2</v>
      </c>
      <c r="G16" s="39">
        <f>Budgeting!$M$6</f>
        <v>-14204.166666666672</v>
      </c>
      <c r="H16" s="40">
        <v>-12400</v>
      </c>
      <c r="I16" s="37">
        <f t="shared" si="2"/>
        <v>1804.1666666666715</v>
      </c>
      <c r="J16" s="41">
        <f t="shared" si="3"/>
        <v>0.12701672044587886</v>
      </c>
      <c r="M16" s="2"/>
      <c r="N16" s="3"/>
      <c r="O16" s="3"/>
    </row>
    <row r="17" spans="2:15" x14ac:dyDescent="0.35">
      <c r="M17" s="2"/>
      <c r="N17" s="3"/>
      <c r="O17" s="3"/>
    </row>
    <row r="18" spans="2:15" x14ac:dyDescent="0.35">
      <c r="B18" s="43" t="s">
        <v>52</v>
      </c>
      <c r="C18" s="42">
        <f>SUM(C5:C16)</f>
        <v>597500</v>
      </c>
      <c r="D18" s="42">
        <f>SUM(D5:D16)</f>
        <v>604200</v>
      </c>
      <c r="M18" s="2"/>
      <c r="N18" s="3"/>
      <c r="O18" s="3"/>
    </row>
    <row r="19" spans="2:15" x14ac:dyDescent="0.35">
      <c r="M19" s="2"/>
      <c r="N19" s="3"/>
      <c r="O19" s="3"/>
    </row>
    <row r="20" spans="2:15" x14ac:dyDescent="0.35">
      <c r="M20" s="2"/>
      <c r="N20" s="3"/>
      <c r="O20" s="3"/>
    </row>
    <row r="21" spans="2:15" x14ac:dyDescent="0.35">
      <c r="M21" s="2"/>
      <c r="N21" s="3"/>
      <c r="O21" s="3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3217-007F-4EB1-B1A6-584C7AF0D37A}">
  <dimension ref="B1:X21"/>
  <sheetViews>
    <sheetView showGridLines="0" tabSelected="1" topLeftCell="A13" workbookViewId="0">
      <selection activeCell="A45" sqref="A45"/>
    </sheetView>
  </sheetViews>
  <sheetFormatPr defaultRowHeight="14.5" x14ac:dyDescent="0.35"/>
  <cols>
    <col min="8" max="8" width="9.6328125" customWidth="1"/>
    <col min="9" max="9" width="5.81640625" customWidth="1"/>
  </cols>
  <sheetData>
    <row r="1" spans="2:24" ht="15" thickBot="1" x14ac:dyDescent="0.4"/>
    <row r="2" spans="2:24" ht="15" thickBot="1" x14ac:dyDescent="0.4">
      <c r="B2" s="29" t="s">
        <v>51</v>
      </c>
      <c r="C2" s="32"/>
      <c r="D2" s="32"/>
      <c r="E2" s="32"/>
      <c r="F2" s="32"/>
      <c r="G2" s="32"/>
      <c r="H2" s="30"/>
      <c r="J2" s="29" t="s">
        <v>53</v>
      </c>
      <c r="K2" s="32"/>
      <c r="L2" s="32"/>
      <c r="M2" s="32"/>
      <c r="N2" s="32"/>
      <c r="O2" s="32"/>
      <c r="P2" s="30"/>
      <c r="R2" s="29" t="s">
        <v>55</v>
      </c>
      <c r="S2" s="32"/>
      <c r="T2" s="32"/>
      <c r="U2" s="32"/>
      <c r="V2" s="32"/>
      <c r="W2" s="32"/>
      <c r="X2" s="30"/>
    </row>
    <row r="20" spans="2:24" ht="15" thickBot="1" x14ac:dyDescent="0.4"/>
    <row r="21" spans="2:24" ht="15" thickBot="1" x14ac:dyDescent="0.4">
      <c r="B21" s="29" t="s">
        <v>54</v>
      </c>
      <c r="C21" s="32"/>
      <c r="D21" s="32"/>
      <c r="E21" s="32"/>
      <c r="F21" s="32"/>
      <c r="G21" s="32"/>
      <c r="H21" s="30"/>
      <c r="J21" s="29" t="s">
        <v>49</v>
      </c>
      <c r="K21" s="32"/>
      <c r="L21" s="32"/>
      <c r="M21" s="32"/>
      <c r="N21" s="32"/>
      <c r="O21" s="32"/>
      <c r="P21" s="30"/>
      <c r="R21" s="29" t="s">
        <v>56</v>
      </c>
      <c r="S21" s="32"/>
      <c r="T21" s="32"/>
      <c r="U21" s="32"/>
      <c r="V21" s="32"/>
      <c r="W21" s="32"/>
      <c r="X21" s="30"/>
    </row>
  </sheetData>
  <mergeCells count="6">
    <mergeCell ref="R2:X2"/>
    <mergeCell ref="R21:X21"/>
    <mergeCell ref="B2:H2"/>
    <mergeCell ref="J2:P2"/>
    <mergeCell ref="B21:H21"/>
    <mergeCell ref="J21:P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</vt:lpstr>
      <vt:lpstr>Budgeting</vt:lpstr>
      <vt:lpstr>Actuals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M</dc:creator>
  <cp:lastModifiedBy>Shreya M</cp:lastModifiedBy>
  <dcterms:created xsi:type="dcterms:W3CDTF">2025-11-13T16:36:10Z</dcterms:created>
  <dcterms:modified xsi:type="dcterms:W3CDTF">2025-11-13T18:46:42Z</dcterms:modified>
</cp:coreProperties>
</file>